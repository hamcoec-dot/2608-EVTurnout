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608-EVTurnout\"/>
    </mc:Choice>
  </mc:AlternateContent>
  <xr:revisionPtr revIDLastSave="0" documentId="13_ncr:1_{348DA4AC-E82A-4786-9831-FEE2F871CC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1" l="1"/>
  <c r="F27" i="1"/>
  <c r="B27" i="1"/>
  <c r="F26" i="1"/>
  <c r="F30" i="1" s="1"/>
  <c r="B25" i="1" s="1"/>
  <c r="H22" i="1"/>
  <c r="G22" i="1"/>
  <c r="F22" i="1"/>
  <c r="E22" i="1"/>
  <c r="D22" i="1"/>
  <c r="C22" i="1"/>
  <c r="B26" i="1" s="1"/>
  <c r="B28" i="1" s="1"/>
  <c r="B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22" i="1" s="1"/>
</calcChain>
</file>

<file path=xl/sharedStrings.xml><?xml version="1.0" encoding="utf-8"?>
<sst xmlns="http://schemas.openxmlformats.org/spreadsheetml/2006/main" count="35" uniqueCount="23">
  <si>
    <t>Hamilton TN Early Voting &amp; Absentee Daily Turnout Report
State &amp; Federal Primary and County General
August 6th, 2026</t>
  </si>
  <si>
    <t>Date</t>
  </si>
  <si>
    <t>By Mail/NH Voters</t>
  </si>
  <si>
    <t>Brainerd</t>
  </si>
  <si>
    <t>Collegedale</t>
  </si>
  <si>
    <t>Election Comm.</t>
  </si>
  <si>
    <t>Harrison</t>
  </si>
  <si>
    <t>Hixson</t>
  </si>
  <si>
    <t>Soddy Daisy</t>
  </si>
  <si>
    <t>Totals</t>
  </si>
  <si>
    <t>Thru 7/16/2026</t>
  </si>
  <si>
    <t>N/A</t>
  </si>
  <si>
    <t>8/2/26-Election Day</t>
  </si>
  <si>
    <t>Total Registered Voters</t>
  </si>
  <si>
    <t>Percentage Turnout</t>
  </si>
  <si>
    <t>Early Voting</t>
  </si>
  <si>
    <t>Republican Primary</t>
  </si>
  <si>
    <t>Absentee/NH</t>
  </si>
  <si>
    <t>Democrat Primary</t>
  </si>
  <si>
    <t>Grand Total</t>
  </si>
  <si>
    <t>General Election</t>
  </si>
  <si>
    <t xml:space="preserve">*All totals are unofficial and are subject to verification and certification by the Hamilton County Election Commission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</si>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</sst>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Space Mono"/>
    </font>
    <font>
      <b/>
      <sz val="11"/>
      <color rgb="FF000000"/>
      <name val="Calibri"/>
    </font>
    <font>
      <sz val="11"/>
      <name val="Space Mono"/>
    </font>
    <font>
      <sz val="11"/>
      <color rgb="FF000000"/>
      <name val="Calibri"/>
    </font>
    <font>
      <sz val="11"/>
      <name val="Calibri"/>
    </font>
    <font>
      <sz val="12"/>
      <name val="Calibri"/>
    </font>
    <font>
      <sz val="9"/>
      <name val="Space Mono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/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2" fillId="0" borderId="9" xfId="0" applyFont="1" applyBorder="1" applyAlignment="1"/>
    <xf numFmtId="0" fontId="4" fillId="0" borderId="9" xfId="0" applyFont="1" applyBorder="1" applyAlignment="1"/>
    <xf numFmtId="0" fontId="3" fillId="0" borderId="0" xfId="0" applyFont="1" applyAlignment="1">
      <alignment horizontal="center"/>
    </xf>
    <xf numFmtId="0" fontId="4" fillId="0" borderId="2" xfId="0" applyFont="1" applyBorder="1" applyAlignment="1"/>
    <xf numFmtId="14" fontId="4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3" fontId="3" fillId="0" borderId="0" xfId="0" applyNumberFormat="1" applyFont="1" applyAlignment="1"/>
    <xf numFmtId="10" fontId="3" fillId="0" borderId="0" xfId="0" applyNumberFormat="1" applyFont="1"/>
    <xf numFmtId="0" fontId="4" fillId="0" borderId="0" xfId="0" applyFont="1" applyAlignment="1"/>
    <xf numFmtId="0" fontId="4" fillId="4" borderId="0" xfId="0" applyFont="1" applyFill="1" applyAlignment="1"/>
    <xf numFmtId="0" fontId="6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Font="1" applyAlignment="1">
      <alignment horizontal="center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Sheet1!$I$5</c:f>
              <c:strCache>
                <c:ptCount val="1"/>
                <c:pt idx="0">
                  <c:v>Totals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Sheet1!$A$6:$A$20</c:f>
              <c:strCache>
                <c:ptCount val="15"/>
                <c:pt idx="0">
                  <c:v>Thru 7/16/2026</c:v>
                </c:pt>
                <c:pt idx="1">
                  <c:v>7/17/2026</c:v>
                </c:pt>
                <c:pt idx="2">
                  <c:v>7/18/2026</c:v>
                </c:pt>
                <c:pt idx="3">
                  <c:v>7/20/2026</c:v>
                </c:pt>
                <c:pt idx="4">
                  <c:v>7/21/2026</c:v>
                </c:pt>
                <c:pt idx="5">
                  <c:v>7/22/2026</c:v>
                </c:pt>
                <c:pt idx="6">
                  <c:v>7/23/2026</c:v>
                </c:pt>
                <c:pt idx="7">
                  <c:v>7/24/2026</c:v>
                </c:pt>
                <c:pt idx="8">
                  <c:v>7/25/2026</c:v>
                </c:pt>
                <c:pt idx="9">
                  <c:v>7/27/2026</c:v>
                </c:pt>
                <c:pt idx="10">
                  <c:v>7/28/2026</c:v>
                </c:pt>
                <c:pt idx="11">
                  <c:v>7/29/2026</c:v>
                </c:pt>
                <c:pt idx="12">
                  <c:v>7/30/2026</c:v>
                </c:pt>
                <c:pt idx="13">
                  <c:v>7/31/2026</c:v>
                </c:pt>
                <c:pt idx="14">
                  <c:v>8/1/2026</c:v>
                </c:pt>
              </c:strCache>
            </c:strRef>
          </c:cat>
          <c:val>
            <c:numRef>
              <c:f>Sheet1!$I$6:$I$20</c:f>
              <c:numCache>
                <c:formatCode>General</c:formatCode>
                <c:ptCount val="15"/>
                <c:pt idx="0">
                  <c:v>696</c:v>
                </c:pt>
                <c:pt idx="1">
                  <c:v>2076</c:v>
                </c:pt>
                <c:pt idx="2">
                  <c:v>1126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BF-41A5-94E0-E30BDB41B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711439"/>
        <c:axId val="1142832404"/>
      </c:barChart>
      <c:catAx>
        <c:axId val="1020711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42832404"/>
        <c:crosses val="autoZero"/>
        <c:auto val="1"/>
        <c:lblAlgn val="ctr"/>
        <c:lblOffset val="100"/>
        <c:noMultiLvlLbl val="1"/>
      </c:catAx>
      <c:valAx>
        <c:axId val="1142832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0207114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30</xdr:row>
      <xdr:rowOff>47625</xdr:rowOff>
    </xdr:from>
    <xdr:ext cx="10372725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200025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I21">
  <tableColumns count="9">
    <tableColumn id="1" xr3:uid="{00000000-0010-0000-0000-000001000000}" name="Date"/>
    <tableColumn id="2" xr3:uid="{00000000-0010-0000-0000-000002000000}" name="By Mail/NH Voters"/>
    <tableColumn id="3" xr3:uid="{00000000-0010-0000-0000-000003000000}" name="Brainerd"/>
    <tableColumn id="4" xr3:uid="{00000000-0010-0000-0000-000004000000}" name="Collegedale"/>
    <tableColumn id="5" xr3:uid="{00000000-0010-0000-0000-000005000000}" name="Election Comm."/>
    <tableColumn id="6" xr3:uid="{00000000-0010-0000-0000-000006000000}" name="Harrison"/>
    <tableColumn id="7" xr3:uid="{00000000-0010-0000-0000-000007000000}" name="Hixson"/>
    <tableColumn id="8" xr3:uid="{00000000-0010-0000-0000-000008000000}" name="Soddy Daisy"/>
    <tableColumn id="9" xr3:uid="{00000000-0010-0000-0000-000009000000}" name="Total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48"/>
  <sheetViews>
    <sheetView tabSelected="1" workbookViewId="0">
      <selection activeCell="B25" sqref="B25"/>
    </sheetView>
  </sheetViews>
  <sheetFormatPr defaultColWidth="12.625" defaultRowHeight="15" customHeight="1"/>
  <cols>
    <col min="1" max="1" width="23.125" customWidth="1"/>
    <col min="2" max="2" width="19.25" customWidth="1"/>
    <col min="3" max="3" width="15.125" customWidth="1"/>
    <col min="4" max="4" width="17.375" customWidth="1"/>
    <col min="5" max="5" width="14.625" customWidth="1"/>
    <col min="6" max="6" width="13.625" customWidth="1"/>
    <col min="7" max="9" width="11.25" customWidth="1"/>
  </cols>
  <sheetData>
    <row r="1" spans="1:9" ht="14.25">
      <c r="A1" s="25" t="s">
        <v>0</v>
      </c>
      <c r="B1" s="26"/>
      <c r="C1" s="26"/>
      <c r="D1" s="26"/>
      <c r="E1" s="26"/>
      <c r="F1" s="26"/>
      <c r="G1" s="26"/>
      <c r="H1" s="26"/>
      <c r="I1" s="27"/>
    </row>
    <row r="2" spans="1:9" ht="14.25">
      <c r="A2" s="28"/>
      <c r="B2" s="29"/>
      <c r="C2" s="29"/>
      <c r="D2" s="29"/>
      <c r="E2" s="29"/>
      <c r="F2" s="29"/>
      <c r="G2" s="29"/>
      <c r="H2" s="29"/>
      <c r="I2" s="30"/>
    </row>
    <row r="3" spans="1:9" ht="14.25">
      <c r="A3" s="28"/>
      <c r="B3" s="29"/>
      <c r="C3" s="29"/>
      <c r="D3" s="29"/>
      <c r="E3" s="29"/>
      <c r="F3" s="29"/>
      <c r="G3" s="29"/>
      <c r="H3" s="29"/>
      <c r="I3" s="30"/>
    </row>
    <row r="4" spans="1:9" ht="14.25">
      <c r="A4" s="31"/>
      <c r="B4" s="32"/>
      <c r="C4" s="32"/>
      <c r="D4" s="32"/>
      <c r="E4" s="32"/>
      <c r="F4" s="32"/>
      <c r="G4" s="32"/>
      <c r="H4" s="32"/>
      <c r="I4" s="33"/>
    </row>
    <row r="5" spans="1:9">
      <c r="A5" s="1" t="s">
        <v>1</v>
      </c>
      <c r="B5" s="1" t="s">
        <v>2</v>
      </c>
      <c r="C5" s="1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1" t="s">
        <v>9</v>
      </c>
    </row>
    <row r="6" spans="1:9">
      <c r="A6" s="3" t="s">
        <v>10</v>
      </c>
      <c r="B6" s="4">
        <v>696</v>
      </c>
      <c r="C6" s="5" t="s">
        <v>11</v>
      </c>
      <c r="D6" s="5" t="s">
        <v>11</v>
      </c>
      <c r="E6" s="5" t="s">
        <v>11</v>
      </c>
      <c r="F6" s="6" t="s">
        <v>11</v>
      </c>
      <c r="G6" s="6" t="s">
        <v>11</v>
      </c>
      <c r="H6" s="6" t="s">
        <v>11</v>
      </c>
      <c r="I6" s="4">
        <f t="shared" ref="I6:I21" si="0">SUM(B6:H6)</f>
        <v>696</v>
      </c>
    </row>
    <row r="7" spans="1:9" ht="15.75">
      <c r="A7" s="7">
        <v>46220</v>
      </c>
      <c r="B7" s="4">
        <v>19</v>
      </c>
      <c r="C7" s="4">
        <v>263</v>
      </c>
      <c r="D7" s="4">
        <v>343</v>
      </c>
      <c r="E7" s="4">
        <v>602</v>
      </c>
      <c r="F7" s="4">
        <v>188</v>
      </c>
      <c r="G7" s="4">
        <v>448</v>
      </c>
      <c r="H7" s="4">
        <v>213</v>
      </c>
      <c r="I7" s="4">
        <f t="shared" si="0"/>
        <v>2076</v>
      </c>
    </row>
    <row r="8" spans="1:9" ht="15.75">
      <c r="A8" s="7">
        <v>46221</v>
      </c>
      <c r="B8" s="4">
        <v>0</v>
      </c>
      <c r="C8" s="4">
        <v>153</v>
      </c>
      <c r="D8" s="4">
        <v>154</v>
      </c>
      <c r="E8" s="4">
        <v>269</v>
      </c>
      <c r="F8" s="4">
        <v>80</v>
      </c>
      <c r="G8" s="4">
        <v>295</v>
      </c>
      <c r="H8" s="4">
        <v>175</v>
      </c>
      <c r="I8" s="4">
        <f t="shared" si="0"/>
        <v>1126</v>
      </c>
    </row>
    <row r="9" spans="1:9" ht="15.75">
      <c r="A9" s="7">
        <v>46223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f t="shared" si="0"/>
        <v>0</v>
      </c>
    </row>
    <row r="10" spans="1:9" ht="15.75">
      <c r="A10" s="7">
        <v>46224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f t="shared" si="0"/>
        <v>0</v>
      </c>
    </row>
    <row r="11" spans="1:9" ht="15.75">
      <c r="A11" s="7">
        <v>46225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f t="shared" si="0"/>
        <v>0</v>
      </c>
    </row>
    <row r="12" spans="1:9" ht="15.75">
      <c r="A12" s="7">
        <v>46226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f t="shared" si="0"/>
        <v>0</v>
      </c>
    </row>
    <row r="13" spans="1:9" ht="15.75">
      <c r="A13" s="7">
        <v>46227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f t="shared" si="0"/>
        <v>0</v>
      </c>
    </row>
    <row r="14" spans="1:9" ht="15.75">
      <c r="A14" s="7">
        <v>46228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f t="shared" si="0"/>
        <v>0</v>
      </c>
    </row>
    <row r="15" spans="1:9" ht="15.75">
      <c r="A15" s="7">
        <v>46230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f t="shared" si="0"/>
        <v>0</v>
      </c>
    </row>
    <row r="16" spans="1:9" ht="15.75">
      <c r="A16" s="7">
        <v>46231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f t="shared" si="0"/>
        <v>0</v>
      </c>
    </row>
    <row r="17" spans="1:9" ht="15.75">
      <c r="A17" s="7">
        <v>46232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f t="shared" si="0"/>
        <v>0</v>
      </c>
    </row>
    <row r="18" spans="1:9" ht="15.75">
      <c r="A18" s="7">
        <v>46233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f t="shared" si="0"/>
        <v>0</v>
      </c>
    </row>
    <row r="19" spans="1:9" ht="15.75">
      <c r="A19" s="7">
        <v>46234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f t="shared" si="0"/>
        <v>0</v>
      </c>
    </row>
    <row r="20" spans="1:9" ht="15.75">
      <c r="A20" s="7">
        <v>46235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f t="shared" si="0"/>
        <v>0</v>
      </c>
    </row>
    <row r="21" spans="1:9">
      <c r="A21" s="8" t="s">
        <v>12</v>
      </c>
      <c r="B21" s="9">
        <v>0</v>
      </c>
      <c r="C21" s="5" t="s">
        <v>11</v>
      </c>
      <c r="D21" s="5" t="s">
        <v>11</v>
      </c>
      <c r="E21" s="5" t="s">
        <v>11</v>
      </c>
      <c r="F21" s="6" t="s">
        <v>11</v>
      </c>
      <c r="G21" s="6" t="s">
        <v>11</v>
      </c>
      <c r="H21" s="6" t="s">
        <v>11</v>
      </c>
      <c r="I21" s="4">
        <f t="shared" si="0"/>
        <v>0</v>
      </c>
    </row>
    <row r="22" spans="1:9">
      <c r="A22" s="10" t="s">
        <v>9</v>
      </c>
      <c r="B22" s="11">
        <f>SUM(B6:B21)</f>
        <v>715</v>
      </c>
      <c r="C22" s="11">
        <f t="shared" ref="C22:H22" si="1">SUM(C6:C20)</f>
        <v>416</v>
      </c>
      <c r="D22" s="11">
        <f t="shared" si="1"/>
        <v>497</v>
      </c>
      <c r="E22" s="11">
        <f t="shared" si="1"/>
        <v>871</v>
      </c>
      <c r="F22" s="11">
        <f t="shared" si="1"/>
        <v>268</v>
      </c>
      <c r="G22" s="11">
        <f t="shared" si="1"/>
        <v>743</v>
      </c>
      <c r="H22" s="11">
        <f t="shared" si="1"/>
        <v>388</v>
      </c>
      <c r="I22" s="11">
        <f>SUM(I6:I21)</f>
        <v>3898</v>
      </c>
    </row>
    <row r="23" spans="1:9" ht="15.75" customHeight="1">
      <c r="A23" s="12"/>
      <c r="B23" s="13"/>
      <c r="C23" s="13"/>
      <c r="D23" s="13"/>
      <c r="E23" s="13"/>
      <c r="F23" s="13"/>
      <c r="G23" s="14"/>
      <c r="H23" s="14"/>
      <c r="I23" s="14"/>
    </row>
    <row r="24" spans="1:9" ht="15.75" customHeight="1">
      <c r="A24" s="15" t="s">
        <v>13</v>
      </c>
      <c r="B24" s="16">
        <v>218767</v>
      </c>
      <c r="D24" s="13"/>
      <c r="E24" s="13"/>
      <c r="F24" s="13"/>
      <c r="G24" s="14"/>
      <c r="H24" s="14"/>
      <c r="I24" s="14"/>
    </row>
    <row r="25" spans="1:9" ht="15.75" customHeight="1">
      <c r="A25" s="15" t="s">
        <v>14</v>
      </c>
      <c r="B25" s="17">
        <f>F30/B24</f>
        <v>1.7818043854877563E-2</v>
      </c>
      <c r="C25" s="13"/>
      <c r="D25" s="13"/>
      <c r="E25" s="13"/>
      <c r="F25" s="13"/>
      <c r="G25" s="14"/>
      <c r="H25" s="14"/>
      <c r="I25" s="14"/>
    </row>
    <row r="26" spans="1:9" ht="15.75" customHeight="1">
      <c r="A26" s="18" t="s">
        <v>15</v>
      </c>
      <c r="B26" s="18">
        <f>SUM(C22:H22)</f>
        <v>3183</v>
      </c>
      <c r="C26" s="18"/>
      <c r="D26" s="19" t="s">
        <v>16</v>
      </c>
      <c r="E26" s="20"/>
      <c r="F26" s="21">
        <f>389+1233+598</f>
        <v>2220</v>
      </c>
      <c r="G26" s="34"/>
      <c r="H26" s="29"/>
      <c r="I26" s="29"/>
    </row>
    <row r="27" spans="1:9" ht="15.75" customHeight="1">
      <c r="A27" s="22" t="s">
        <v>17</v>
      </c>
      <c r="B27" s="22">
        <f>SUM(B6:B21)</f>
        <v>715</v>
      </c>
      <c r="C27" s="23"/>
      <c r="D27" s="19" t="s">
        <v>18</v>
      </c>
      <c r="E27" s="20"/>
      <c r="F27" s="21">
        <f>280+803+508</f>
        <v>1591</v>
      </c>
      <c r="G27" s="29"/>
      <c r="H27" s="29"/>
      <c r="I27" s="29"/>
    </row>
    <row r="28" spans="1:9" ht="15.75" customHeight="1">
      <c r="A28" s="22" t="s">
        <v>19</v>
      </c>
      <c r="B28" s="18">
        <f>SUM(B26:B27)</f>
        <v>3898</v>
      </c>
      <c r="C28" s="23"/>
      <c r="D28" s="19" t="s">
        <v>20</v>
      </c>
      <c r="E28" s="20"/>
      <c r="F28" s="21">
        <f>27+40+20</f>
        <v>87</v>
      </c>
      <c r="G28" s="29"/>
      <c r="H28" s="29"/>
      <c r="I28" s="29"/>
    </row>
    <row r="29" spans="1:9" ht="15.75" customHeight="1">
      <c r="A29" s="35" t="s">
        <v>21</v>
      </c>
      <c r="B29" s="26"/>
      <c r="C29" s="27"/>
      <c r="D29" s="20"/>
      <c r="E29" s="20"/>
      <c r="F29" s="20"/>
      <c r="G29" s="29"/>
      <c r="H29" s="29"/>
      <c r="I29" s="29"/>
    </row>
    <row r="30" spans="1:9" ht="15.75" customHeight="1">
      <c r="A30" s="31"/>
      <c r="B30" s="32"/>
      <c r="C30" s="33"/>
      <c r="D30" s="21" t="s">
        <v>22</v>
      </c>
      <c r="E30" s="20"/>
      <c r="F30" s="21">
        <f>SUM(F26:F28)</f>
        <v>3898</v>
      </c>
      <c r="G30" s="29"/>
      <c r="H30" s="29"/>
      <c r="I30" s="29"/>
    </row>
    <row r="31" spans="1:9" ht="15.75" customHeight="1">
      <c r="A31" s="23"/>
      <c r="B31" s="23"/>
      <c r="C31" s="23"/>
      <c r="D31" s="22"/>
      <c r="E31" s="23"/>
      <c r="F31" s="22"/>
      <c r="G31" s="24"/>
      <c r="H31" s="24"/>
      <c r="I31" s="24"/>
    </row>
    <row r="32" spans="1:9" ht="15.75" customHeight="1">
      <c r="A32" s="23"/>
      <c r="B32" s="23"/>
      <c r="C32" s="23"/>
      <c r="D32" s="22"/>
      <c r="E32" s="23"/>
      <c r="F32" s="22"/>
      <c r="G32" s="24"/>
      <c r="H32" s="24"/>
      <c r="I32" s="24"/>
    </row>
    <row r="33" spans="1:9" ht="15.75" customHeight="1">
      <c r="A33" s="23"/>
      <c r="B33" s="23"/>
      <c r="C33" s="23"/>
      <c r="D33" s="22"/>
      <c r="E33" s="23"/>
      <c r="F33" s="22"/>
      <c r="G33" s="24"/>
      <c r="H33" s="24"/>
      <c r="I33" s="24"/>
    </row>
    <row r="34" spans="1:9" ht="15.75" customHeight="1">
      <c r="A34" s="23"/>
      <c r="B34" s="23"/>
      <c r="C34" s="23"/>
      <c r="D34" s="22"/>
      <c r="E34" s="23"/>
      <c r="F34" s="22"/>
      <c r="G34" s="24"/>
      <c r="H34" s="24"/>
      <c r="I34" s="24"/>
    </row>
    <row r="35" spans="1:9" ht="15.75" customHeight="1">
      <c r="A35" s="23"/>
      <c r="B35" s="23"/>
      <c r="C35" s="23"/>
      <c r="D35" s="22"/>
      <c r="E35" s="23"/>
      <c r="F35" s="22"/>
      <c r="G35" s="24"/>
      <c r="H35" s="24"/>
      <c r="I35" s="24"/>
    </row>
    <row r="36" spans="1:9" ht="15.75" customHeight="1">
      <c r="A36" s="23"/>
      <c r="B36" s="23"/>
      <c r="C36" s="23"/>
      <c r="D36" s="22"/>
      <c r="E36" s="23"/>
      <c r="F36" s="22"/>
      <c r="G36" s="24"/>
      <c r="H36" s="24"/>
      <c r="I36" s="24"/>
    </row>
    <row r="37" spans="1:9" ht="15.75" customHeight="1">
      <c r="A37" s="23"/>
      <c r="B37" s="23"/>
      <c r="C37" s="23"/>
      <c r="D37" s="22"/>
      <c r="E37" s="23"/>
      <c r="F37" s="22"/>
      <c r="G37" s="24"/>
      <c r="H37" s="24"/>
      <c r="I37" s="24"/>
    </row>
    <row r="38" spans="1:9" ht="15.75" customHeight="1">
      <c r="A38" s="23"/>
      <c r="B38" s="23"/>
      <c r="C38" s="23"/>
      <c r="D38" s="22"/>
      <c r="E38" s="23"/>
      <c r="F38" s="22"/>
      <c r="G38" s="24"/>
      <c r="H38" s="24"/>
      <c r="I38" s="24"/>
    </row>
    <row r="39" spans="1:9" ht="15.75" customHeight="1">
      <c r="A39" s="23"/>
      <c r="B39" s="23"/>
      <c r="C39" s="23"/>
      <c r="D39" s="22"/>
      <c r="E39" s="23"/>
      <c r="F39" s="22"/>
      <c r="G39" s="24"/>
      <c r="H39" s="24"/>
      <c r="I39" s="24"/>
    </row>
    <row r="40" spans="1:9" ht="15.75" customHeight="1">
      <c r="A40" s="23"/>
      <c r="B40" s="23"/>
      <c r="C40" s="23"/>
      <c r="D40" s="22"/>
      <c r="E40" s="23"/>
      <c r="F40" s="22"/>
      <c r="G40" s="24"/>
      <c r="H40" s="24"/>
      <c r="I40" s="24"/>
    </row>
    <row r="41" spans="1:9" ht="15.75" customHeight="1">
      <c r="A41" s="23"/>
      <c r="B41" s="23"/>
      <c r="C41" s="23"/>
      <c r="D41" s="22"/>
      <c r="E41" s="23"/>
      <c r="F41" s="22"/>
      <c r="G41" s="24"/>
      <c r="H41" s="24"/>
      <c r="I41" s="24"/>
    </row>
    <row r="42" spans="1:9" ht="15.75" customHeight="1">
      <c r="A42" s="23"/>
      <c r="B42" s="23"/>
      <c r="C42" s="23"/>
      <c r="D42" s="22"/>
      <c r="E42" s="23"/>
      <c r="F42" s="22"/>
      <c r="G42" s="24"/>
      <c r="H42" s="24"/>
      <c r="I42" s="24"/>
    </row>
    <row r="43" spans="1:9" ht="15.75" customHeight="1">
      <c r="A43" s="23"/>
      <c r="B43" s="23"/>
      <c r="C43" s="23"/>
      <c r="D43" s="22"/>
      <c r="E43" s="23"/>
      <c r="F43" s="22"/>
      <c r="G43" s="24"/>
      <c r="H43" s="24"/>
      <c r="I43" s="24"/>
    </row>
    <row r="44" spans="1:9" ht="15.75" customHeight="1">
      <c r="A44" s="23"/>
      <c r="B44" s="23"/>
      <c r="C44" s="23"/>
      <c r="D44" s="22"/>
      <c r="E44" s="23"/>
      <c r="F44" s="22"/>
      <c r="G44" s="24"/>
      <c r="H44" s="24"/>
      <c r="I44" s="24"/>
    </row>
    <row r="45" spans="1:9" ht="15.75" customHeight="1">
      <c r="A45" s="23"/>
      <c r="B45" s="23"/>
      <c r="C45" s="23"/>
      <c r="D45" s="22"/>
      <c r="E45" s="23"/>
      <c r="F45" s="22"/>
      <c r="G45" s="24"/>
      <c r="H45" s="24"/>
      <c r="I45" s="24"/>
    </row>
    <row r="46" spans="1:9" ht="15.75" customHeight="1">
      <c r="A46" s="23"/>
      <c r="B46" s="23"/>
      <c r="C46" s="23"/>
      <c r="D46" s="22"/>
      <c r="E46" s="23"/>
      <c r="F46" s="22"/>
      <c r="G46" s="24"/>
      <c r="H46" s="24"/>
      <c r="I46" s="24"/>
    </row>
    <row r="47" spans="1:9" ht="15.75" customHeight="1">
      <c r="A47" s="23"/>
      <c r="B47" s="23"/>
      <c r="C47" s="23"/>
      <c r="D47" s="22"/>
      <c r="E47" s="23"/>
      <c r="F47" s="22"/>
      <c r="G47" s="24"/>
      <c r="H47" s="24"/>
      <c r="I47" s="24"/>
    </row>
    <row r="48" spans="1:9" ht="15.75" customHeight="1">
      <c r="A48" s="23"/>
      <c r="B48" s="23"/>
      <c r="C48" s="23"/>
      <c r="D48" s="22"/>
      <c r="E48" s="23"/>
      <c r="F48" s="22"/>
      <c r="G48" s="24"/>
      <c r="H48" s="24"/>
      <c r="I48" s="24"/>
    </row>
  </sheetData>
  <mergeCells count="3">
    <mergeCell ref="A1:I4"/>
    <mergeCell ref="G26:I30"/>
    <mergeCell ref="A29:C30"/>
  </mergeCells>
  <printOptions horizontalCentered="1"/>
  <pageMargins left="0.25" right="0.25" top="0.75" bottom="0.75" header="0" footer="0"/>
  <pageSetup fitToWidth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Foster, Nathan</cp:lastModifiedBy>
  <dcterms:modified xsi:type="dcterms:W3CDTF">2026-08-05T18:43:27Z</dcterms:modified>
</cp:coreProperties>
</file>