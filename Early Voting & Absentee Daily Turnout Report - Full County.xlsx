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<sst xmlns="http://schemas.openxmlformats.org/spreadsheetml/2006/main" count="35" uniqueCount="23">
  <si>
    <t>Hamilton TN Early Voting &amp; Absentee Daily Turnout Report
State &amp; Federal Primary and County General
August 6th, 2026</t>
  </si>
  <si>
    <t>Date</t>
  </si>
  <si>
    <t>By Mail/NH Voters</t>
  </si>
  <si>
    <t>Brainerd</t>
  </si>
  <si>
    <t>Collegedale</t>
  </si>
  <si>
    <t>Election Comm.</t>
  </si>
  <si>
    <t>Harrison</t>
  </si>
  <si>
    <t>Hixson</t>
  </si>
  <si>
    <t>Soddy Daisy</t>
  </si>
  <si>
    <t>Totals</t>
  </si>
  <si>
    <t>Thru 7/16/2026</t>
  </si>
  <si>
    <t>N/A</t>
  </si>
  <si>
    <t>8/2/26-Election Day</t>
  </si>
  <si>
    <t>Total Registered Voters</t>
  </si>
  <si>
    <t>Percentage Turnout</t>
  </si>
  <si>
    <t>Early Voting</t>
  </si>
  <si>
    <t>Republican Primary</t>
  </si>
  <si>
    <t>Absentee/NH</t>
  </si>
  <si>
    <t>Democrat Primary</t>
  </si>
  <si>
    <t>Grand Total</t>
  </si>
  <si>
    <t>General Election</t>
  </si>
  <si>
    <t xml:space="preserve">*All totals are unofficial and are subject to verification and certification by the Hamilton County Election Commission 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</si>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</sst>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rgb="FF000000"/>
      <name val="Space Mono"/>
    </font>
    <font>
      <b/>
      <sz val="11.0"/>
      <color rgb="FF000000"/>
      <name val="Calibri"/>
    </font>
    <font/>
    <font>
      <sz val="11.0"/>
      <color rgb="FF000000"/>
      <name val="Calibri"/>
    </font>
    <font>
      <sz val="11.0"/>
      <name val="Calibri"/>
    </font>
    <font>
      <sz val="12.0"/>
      <name val="Calibri"/>
    </font>
    <font>
      <sz val="9.0"/>
    </font>
  </fonts>
  <fills count="5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7F7F7F"/>
        <bgColor rgb="FF7F7F7F"/>
      </patternFill>
    </fill>
    <fill>
      <patternFill patternType="solid">
        <fgColor rgb="FFCCCCCC"/>
        <bgColor rgb="FFCCCCCC"/>
      </patternFill>
    </fill>
  </fills>
  <borders count="11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3" numFmtId="0" xfId="0" applyAlignment="1" applyBorder="1" applyFont="1">
      <alignment horizontal="center"/>
    </xf>
    <xf borderId="9" fillId="0" fontId="3" numFmtId="0" xfId="0" applyAlignment="1" applyBorder="1" applyFont="1">
      <alignment horizontal="center" readingOrder="0"/>
    </xf>
    <xf borderId="9" fillId="0" fontId="4" numFmtId="0" xfId="0" applyAlignment="1" applyBorder="1" applyFont="1">
      <alignment horizontal="center" readingOrder="0" shrinkToFit="0" vertical="bottom" wrapText="0"/>
    </xf>
    <xf borderId="10" fillId="0" fontId="4" numFmtId="0" xfId="0" applyAlignment="1" applyBorder="1" applyFont="1">
      <alignment readingOrder="0"/>
    </xf>
    <xf borderId="10" fillId="3" fontId="4" numFmtId="0" xfId="0" applyAlignment="1" applyBorder="1" applyFill="1" applyFont="1">
      <alignment horizontal="center" readingOrder="0"/>
    </xf>
    <xf borderId="9" fillId="3" fontId="4" numFmtId="0" xfId="0" applyAlignment="1" applyBorder="1" applyFont="1">
      <alignment horizontal="center" readingOrder="0"/>
    </xf>
    <xf borderId="9" fillId="0" fontId="5" numFmtId="14" xfId="0" applyAlignment="1" applyBorder="1" applyFont="1" applyNumberFormat="1">
      <alignment horizontal="center" readingOrder="0" vertical="bottom"/>
    </xf>
    <xf borderId="9" fillId="0" fontId="2" numFmtId="0" xfId="0" applyAlignment="1" applyBorder="1" applyFont="1">
      <alignment readingOrder="0"/>
    </xf>
    <xf borderId="9" fillId="0" fontId="4" numFmtId="0" xfId="0" applyAlignment="1" applyBorder="1" applyFont="1">
      <alignment readingOrder="0"/>
    </xf>
    <xf borderId="0" fillId="0" fontId="3" numFmtId="0" xfId="0" applyAlignment="1" applyFont="1">
      <alignment horizontal="center"/>
    </xf>
    <xf borderId="2" fillId="0" fontId="4" numFmtId="0" xfId="0" applyAlignment="1" applyBorder="1" applyFont="1">
      <alignment readingOrder="0"/>
    </xf>
    <xf borderId="0" fillId="0" fontId="4" numFmtId="14" xfId="0" applyAlignment="1" applyFont="1" applyNumberFormat="1">
      <alignment horizontal="center" readingOrder="0" shrinkToFit="0" vertical="bottom" wrapText="0"/>
    </xf>
    <xf borderId="0" fillId="0" fontId="3" numFmtId="0" xfId="0" applyFont="1"/>
    <xf borderId="0" fillId="0" fontId="4" numFmtId="0" xfId="0" applyFont="1"/>
    <xf borderId="0" fillId="0" fontId="4" numFmtId="0" xfId="0" applyAlignment="1" applyFont="1">
      <alignment horizontal="left" readingOrder="0" shrinkToFit="0" vertical="bottom" wrapText="0"/>
    </xf>
    <xf borderId="0" fillId="0" fontId="3" numFmtId="3" xfId="0" applyAlignment="1" applyFont="1" applyNumberFormat="1">
      <alignment readingOrder="0"/>
    </xf>
    <xf borderId="0" fillId="0" fontId="3" numFmtId="10" xfId="0" applyFont="1" applyNumberFormat="1"/>
    <xf borderId="0" fillId="0" fontId="4" numFmtId="0" xfId="0" applyAlignment="1" applyFont="1">
      <alignment readingOrder="0"/>
    </xf>
    <xf borderId="0" fillId="4" fontId="4" numFmtId="0" xfId="0" applyAlignment="1" applyFill="1" applyFont="1">
      <alignment readingOrder="0" shrinkToFit="0" wrapText="0"/>
    </xf>
    <xf borderId="0" fillId="4" fontId="6" numFmtId="0" xfId="0" applyAlignment="1" applyFont="1">
      <alignment readingOrder="0" shrinkToFit="0" wrapText="1"/>
    </xf>
    <xf borderId="0" fillId="4" fontId="4" numFmtId="0" xfId="0" applyAlignment="1" applyFont="1">
      <alignment readingOrder="0" shrinkToFit="0" wrapText="1"/>
    </xf>
    <xf borderId="0" fillId="0" fontId="0" numFmtId="0" xfId="0" applyAlignment="1" applyFont="1">
      <alignment horizontal="center"/>
    </xf>
    <xf borderId="0" fillId="0" fontId="4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0" fillId="0" fontId="0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Sheet1!$I$5</c:f>
            </c:strRef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Sheet1!$A$6:$A$20</c:f>
            </c:strRef>
          </c:cat>
          <c:val>
            <c:numRef>
              <c:f>Sheet1!$I$6:$I$20</c:f>
              <c:numCache/>
            </c:numRef>
          </c:val>
        </c:ser>
        <c:axId val="1020711439"/>
        <c:axId val="1142832404"/>
      </c:barChart>
      <c:catAx>
        <c:axId val="1020711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42832404"/>
      </c:catAx>
      <c:valAx>
        <c:axId val="11428324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207114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30</xdr:row>
      <xdr:rowOff>47625</xdr:rowOff>
    </xdr:from>
    <xdr:ext cx="10372725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0</xdr:colOff>
      <xdr:row>25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5:I21" displayName="Table_1" name="Table_1" id="1">
  <tableColumns count="9">
    <tableColumn name="Date" id="1"/>
    <tableColumn name="By Mail/NH Voters" id="2"/>
    <tableColumn name="Brainerd" id="3"/>
    <tableColumn name="Collegedale" id="4"/>
    <tableColumn name="Election Comm." id="5"/>
    <tableColumn name="Harrison" id="6"/>
    <tableColumn name="Hixson" id="7"/>
    <tableColumn name="Soddy Daisy" id="8"/>
    <tableColumn name="Totals" id="9"/>
  </tableColumns>
  <tableStyleInfo name="Sheet1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3.13"/>
    <col customWidth="1" min="2" max="2" width="19.25"/>
    <col customWidth="1" min="3" max="3" width="15.13"/>
    <col customWidth="1" min="4" max="4" width="17.38"/>
    <col customWidth="1" min="5" max="5" width="14.63"/>
    <col customWidth="1" min="6" max="6" width="13.63"/>
    <col customWidth="1" min="7" max="9" width="11.2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>
      <c r="A2" s="4"/>
      <c r="I2" s="5"/>
    </row>
    <row r="3">
      <c r="A3" s="4"/>
      <c r="I3" s="5"/>
    </row>
    <row r="4">
      <c r="A4" s="6"/>
      <c r="B4" s="7"/>
      <c r="C4" s="7"/>
      <c r="D4" s="7"/>
      <c r="E4" s="7"/>
      <c r="F4" s="7"/>
      <c r="G4" s="7"/>
      <c r="H4" s="7"/>
      <c r="I4" s="8"/>
    </row>
    <row r="5">
      <c r="A5" s="9" t="s">
        <v>1</v>
      </c>
      <c r="B5" s="9" t="s">
        <v>2</v>
      </c>
      <c r="C5" s="9" t="s">
        <v>3</v>
      </c>
      <c r="D5" s="10" t="s">
        <v>4</v>
      </c>
      <c r="E5" s="10" t="s">
        <v>5</v>
      </c>
      <c r="F5" s="10" t="s">
        <v>6</v>
      </c>
      <c r="G5" s="10" t="s">
        <v>7</v>
      </c>
      <c r="H5" s="10" t="s">
        <v>8</v>
      </c>
      <c r="I5" s="9" t="s">
        <v>9</v>
      </c>
    </row>
    <row r="6">
      <c r="A6" s="11" t="s">
        <v>10</v>
      </c>
      <c r="B6" s="12">
        <v>696.0</v>
      </c>
      <c r="C6" s="13" t="s">
        <v>11</v>
      </c>
      <c r="D6" s="13" t="s">
        <v>11</v>
      </c>
      <c r="E6" s="13" t="s">
        <v>11</v>
      </c>
      <c r="F6" s="14" t="s">
        <v>11</v>
      </c>
      <c r="G6" s="14" t="s">
        <v>11</v>
      </c>
      <c r="H6" s="14" t="s">
        <v>11</v>
      </c>
      <c r="I6" s="12">
        <f t="shared" ref="I6:I21" si="1">SUM(B6:H6)</f>
        <v>696</v>
      </c>
    </row>
    <row r="7">
      <c r="A7" s="15">
        <v>46220.0</v>
      </c>
      <c r="B7" s="12">
        <v>19.0</v>
      </c>
      <c r="C7" s="12">
        <v>263.0</v>
      </c>
      <c r="D7" s="12">
        <v>343.0</v>
      </c>
      <c r="E7" s="12">
        <v>602.0</v>
      </c>
      <c r="F7" s="12">
        <v>188.0</v>
      </c>
      <c r="G7" s="12">
        <v>448.0</v>
      </c>
      <c r="H7" s="12">
        <v>213.0</v>
      </c>
      <c r="I7" s="12">
        <f t="shared" si="1"/>
        <v>2076</v>
      </c>
    </row>
    <row r="8">
      <c r="A8" s="15">
        <v>46221.0</v>
      </c>
      <c r="B8" s="12">
        <v>0.0</v>
      </c>
      <c r="C8" s="12">
        <v>153.0</v>
      </c>
      <c r="D8" s="12">
        <v>154.0</v>
      </c>
      <c r="E8" s="12">
        <v>269.0</v>
      </c>
      <c r="F8" s="12">
        <v>80.0</v>
      </c>
      <c r="G8" s="12">
        <v>295.0</v>
      </c>
      <c r="H8" s="12">
        <v>175.0</v>
      </c>
      <c r="I8" s="12">
        <f t="shared" si="1"/>
        <v>1126</v>
      </c>
    </row>
    <row r="9">
      <c r="A9" s="15">
        <v>46223.0</v>
      </c>
      <c r="B9" s="12">
        <v>0.0</v>
      </c>
      <c r="C9" s="12">
        <v>0.0</v>
      </c>
      <c r="D9" s="12">
        <v>0.0</v>
      </c>
      <c r="E9" s="12">
        <v>0.0</v>
      </c>
      <c r="F9" s="12">
        <v>0.0</v>
      </c>
      <c r="G9" s="12">
        <v>0.0</v>
      </c>
      <c r="H9" s="12">
        <v>0.0</v>
      </c>
      <c r="I9" s="12">
        <f t="shared" si="1"/>
        <v>0</v>
      </c>
    </row>
    <row r="10">
      <c r="A10" s="15">
        <v>46224.0</v>
      </c>
      <c r="B10" s="12">
        <v>0.0</v>
      </c>
      <c r="C10" s="12">
        <v>0.0</v>
      </c>
      <c r="D10" s="12">
        <v>0.0</v>
      </c>
      <c r="E10" s="12">
        <v>0.0</v>
      </c>
      <c r="F10" s="12">
        <v>0.0</v>
      </c>
      <c r="G10" s="12">
        <v>0.0</v>
      </c>
      <c r="H10" s="12">
        <v>0.0</v>
      </c>
      <c r="I10" s="12">
        <f t="shared" si="1"/>
        <v>0</v>
      </c>
    </row>
    <row r="11">
      <c r="A11" s="15">
        <v>46225.0</v>
      </c>
      <c r="B11" s="12">
        <v>0.0</v>
      </c>
      <c r="C11" s="12">
        <v>0.0</v>
      </c>
      <c r="D11" s="12">
        <v>0.0</v>
      </c>
      <c r="E11" s="12">
        <v>0.0</v>
      </c>
      <c r="F11" s="12">
        <v>0.0</v>
      </c>
      <c r="G11" s="12">
        <v>0.0</v>
      </c>
      <c r="H11" s="12">
        <v>0.0</v>
      </c>
      <c r="I11" s="12">
        <f t="shared" si="1"/>
        <v>0</v>
      </c>
    </row>
    <row r="12">
      <c r="A12" s="15">
        <v>46226.0</v>
      </c>
      <c r="B12" s="12">
        <v>0.0</v>
      </c>
      <c r="C12" s="12">
        <v>0.0</v>
      </c>
      <c r="D12" s="12">
        <v>0.0</v>
      </c>
      <c r="E12" s="12">
        <v>0.0</v>
      </c>
      <c r="F12" s="12">
        <v>0.0</v>
      </c>
      <c r="G12" s="12">
        <v>0.0</v>
      </c>
      <c r="H12" s="12">
        <v>0.0</v>
      </c>
      <c r="I12" s="12">
        <f t="shared" si="1"/>
        <v>0</v>
      </c>
    </row>
    <row r="13">
      <c r="A13" s="15">
        <v>46227.0</v>
      </c>
      <c r="B13" s="12">
        <v>0.0</v>
      </c>
      <c r="C13" s="12">
        <v>0.0</v>
      </c>
      <c r="D13" s="12">
        <v>0.0</v>
      </c>
      <c r="E13" s="12">
        <v>0.0</v>
      </c>
      <c r="F13" s="12">
        <v>0.0</v>
      </c>
      <c r="G13" s="12">
        <v>0.0</v>
      </c>
      <c r="H13" s="12">
        <v>0.0</v>
      </c>
      <c r="I13" s="12">
        <f t="shared" si="1"/>
        <v>0</v>
      </c>
    </row>
    <row r="14">
      <c r="A14" s="15">
        <v>46228.0</v>
      </c>
      <c r="B14" s="12">
        <v>0.0</v>
      </c>
      <c r="C14" s="12">
        <v>0.0</v>
      </c>
      <c r="D14" s="12">
        <v>0.0</v>
      </c>
      <c r="E14" s="12">
        <v>0.0</v>
      </c>
      <c r="F14" s="12">
        <v>0.0</v>
      </c>
      <c r="G14" s="12">
        <v>0.0</v>
      </c>
      <c r="H14" s="12">
        <v>0.0</v>
      </c>
      <c r="I14" s="12">
        <f t="shared" si="1"/>
        <v>0</v>
      </c>
    </row>
    <row r="15">
      <c r="A15" s="15">
        <v>46230.0</v>
      </c>
      <c r="B15" s="12">
        <v>0.0</v>
      </c>
      <c r="C15" s="12">
        <v>0.0</v>
      </c>
      <c r="D15" s="12">
        <v>0.0</v>
      </c>
      <c r="E15" s="12">
        <v>0.0</v>
      </c>
      <c r="F15" s="12">
        <v>0.0</v>
      </c>
      <c r="G15" s="12">
        <v>0.0</v>
      </c>
      <c r="H15" s="12">
        <v>0.0</v>
      </c>
      <c r="I15" s="12">
        <f t="shared" si="1"/>
        <v>0</v>
      </c>
    </row>
    <row r="16">
      <c r="A16" s="15">
        <v>46231.0</v>
      </c>
      <c r="B16" s="12">
        <v>0.0</v>
      </c>
      <c r="C16" s="12">
        <v>0.0</v>
      </c>
      <c r="D16" s="12">
        <v>0.0</v>
      </c>
      <c r="E16" s="12">
        <v>0.0</v>
      </c>
      <c r="F16" s="12">
        <v>0.0</v>
      </c>
      <c r="G16" s="12">
        <v>0.0</v>
      </c>
      <c r="H16" s="12">
        <v>0.0</v>
      </c>
      <c r="I16" s="12">
        <f t="shared" si="1"/>
        <v>0</v>
      </c>
    </row>
    <row r="17">
      <c r="A17" s="15">
        <v>46232.0</v>
      </c>
      <c r="B17" s="12">
        <v>0.0</v>
      </c>
      <c r="C17" s="12">
        <v>0.0</v>
      </c>
      <c r="D17" s="12">
        <v>0.0</v>
      </c>
      <c r="E17" s="12">
        <v>0.0</v>
      </c>
      <c r="F17" s="12">
        <v>0.0</v>
      </c>
      <c r="G17" s="12">
        <v>0.0</v>
      </c>
      <c r="H17" s="12">
        <v>0.0</v>
      </c>
      <c r="I17" s="12">
        <f t="shared" si="1"/>
        <v>0</v>
      </c>
    </row>
    <row r="18">
      <c r="A18" s="15">
        <v>46233.0</v>
      </c>
      <c r="B18" s="12">
        <v>0.0</v>
      </c>
      <c r="C18" s="12">
        <v>0.0</v>
      </c>
      <c r="D18" s="12">
        <v>0.0</v>
      </c>
      <c r="E18" s="12">
        <v>0.0</v>
      </c>
      <c r="F18" s="12">
        <v>0.0</v>
      </c>
      <c r="G18" s="12">
        <v>0.0</v>
      </c>
      <c r="H18" s="12">
        <v>0.0</v>
      </c>
      <c r="I18" s="12">
        <f t="shared" si="1"/>
        <v>0</v>
      </c>
    </row>
    <row r="19">
      <c r="A19" s="15">
        <v>46234.0</v>
      </c>
      <c r="B19" s="12">
        <v>0.0</v>
      </c>
      <c r="C19" s="12">
        <v>0.0</v>
      </c>
      <c r="D19" s="12">
        <v>0.0</v>
      </c>
      <c r="E19" s="12">
        <v>0.0</v>
      </c>
      <c r="F19" s="12">
        <v>0.0</v>
      </c>
      <c r="G19" s="12">
        <v>0.0</v>
      </c>
      <c r="H19" s="12">
        <v>0.0</v>
      </c>
      <c r="I19" s="12">
        <f t="shared" si="1"/>
        <v>0</v>
      </c>
    </row>
    <row r="20">
      <c r="A20" s="15">
        <v>46235.0</v>
      </c>
      <c r="B20" s="12">
        <v>0.0</v>
      </c>
      <c r="C20" s="12">
        <v>0.0</v>
      </c>
      <c r="D20" s="12">
        <v>0.0</v>
      </c>
      <c r="E20" s="12">
        <v>0.0</v>
      </c>
      <c r="F20" s="12">
        <v>0.0</v>
      </c>
      <c r="G20" s="12">
        <v>0.0</v>
      </c>
      <c r="H20" s="12">
        <v>0.0</v>
      </c>
      <c r="I20" s="12">
        <f t="shared" si="1"/>
        <v>0</v>
      </c>
    </row>
    <row r="21">
      <c r="A21" s="16" t="s">
        <v>12</v>
      </c>
      <c r="B21" s="17">
        <v>0.0</v>
      </c>
      <c r="C21" s="13" t="s">
        <v>11</v>
      </c>
      <c r="D21" s="13" t="s">
        <v>11</v>
      </c>
      <c r="E21" s="13" t="s">
        <v>11</v>
      </c>
      <c r="F21" s="14" t="s">
        <v>11</v>
      </c>
      <c r="G21" s="14" t="s">
        <v>11</v>
      </c>
      <c r="H21" s="14" t="s">
        <v>11</v>
      </c>
      <c r="I21" s="12">
        <f t="shared" si="1"/>
        <v>0</v>
      </c>
    </row>
    <row r="22">
      <c r="A22" s="18" t="s">
        <v>9</v>
      </c>
      <c r="B22" s="19">
        <f>SUM(B6:B21)</f>
        <v>715</v>
      </c>
      <c r="C22" s="19">
        <f t="shared" ref="C22:H22" si="2">SUM(C6:C20)</f>
        <v>416</v>
      </c>
      <c r="D22" s="19">
        <f t="shared" si="2"/>
        <v>497</v>
      </c>
      <c r="E22" s="19">
        <f t="shared" si="2"/>
        <v>871</v>
      </c>
      <c r="F22" s="19">
        <f t="shared" si="2"/>
        <v>268</v>
      </c>
      <c r="G22" s="19">
        <f t="shared" si="2"/>
        <v>743</v>
      </c>
      <c r="H22" s="19">
        <f t="shared" si="2"/>
        <v>388</v>
      </c>
      <c r="I22" s="19">
        <f>SUM(I6:I21)</f>
        <v>3898</v>
      </c>
    </row>
    <row r="23" ht="15.75" customHeight="1">
      <c r="A23" s="20"/>
      <c r="B23" s="21"/>
      <c r="C23" s="21"/>
      <c r="D23" s="21"/>
      <c r="E23" s="21"/>
      <c r="F23" s="21"/>
      <c r="G23" s="22"/>
      <c r="H23" s="22"/>
      <c r="I23" s="22"/>
    </row>
    <row r="24" ht="15.75" customHeight="1">
      <c r="A24" s="23" t="s">
        <v>13</v>
      </c>
      <c r="B24" s="24">
        <v>218764.0</v>
      </c>
      <c r="D24" s="21"/>
      <c r="E24" s="21"/>
      <c r="F24" s="21"/>
      <c r="G24" s="22"/>
      <c r="H24" s="22"/>
      <c r="I24" s="22"/>
    </row>
    <row r="25" ht="15.75" customHeight="1">
      <c r="A25" s="23" t="s">
        <v>14</v>
      </c>
      <c r="B25" s="25">
        <f>F30/B24</f>
        <v>0.0178182882</v>
      </c>
      <c r="C25" s="21"/>
      <c r="D25" s="21"/>
      <c r="E25" s="21"/>
      <c r="F25" s="21"/>
      <c r="G25" s="22"/>
      <c r="H25" s="22"/>
      <c r="I25" s="22"/>
    </row>
    <row r="26" ht="15.75" customHeight="1">
      <c r="A26" s="26" t="s">
        <v>15</v>
      </c>
      <c r="B26" s="26">
        <f>SUM(C22:H22)</f>
        <v>3183</v>
      </c>
      <c r="C26" s="26"/>
      <c r="D26" s="27" t="s">
        <v>16</v>
      </c>
      <c r="E26" s="28"/>
      <c r="F26" s="29">
        <f>389+1233+598</f>
        <v>2220</v>
      </c>
      <c r="G26" s="30"/>
    </row>
    <row r="27" ht="15.75" customHeight="1">
      <c r="A27" s="31" t="s">
        <v>17</v>
      </c>
      <c r="B27" s="31">
        <f>SUM(B6:B21)</f>
        <v>715</v>
      </c>
      <c r="C27" s="32"/>
      <c r="D27" s="27" t="s">
        <v>18</v>
      </c>
      <c r="E27" s="28"/>
      <c r="F27" s="29">
        <f>280+803+508</f>
        <v>1591</v>
      </c>
    </row>
    <row r="28" ht="15.75" customHeight="1">
      <c r="A28" s="31" t="s">
        <v>19</v>
      </c>
      <c r="B28" s="26">
        <f>SUM(B26:B27)</f>
        <v>3898</v>
      </c>
      <c r="C28" s="32"/>
      <c r="D28" s="27" t="s">
        <v>20</v>
      </c>
      <c r="E28" s="28"/>
      <c r="F28" s="29">
        <f>27+40+20</f>
        <v>87</v>
      </c>
    </row>
    <row r="29" ht="15.75" customHeight="1">
      <c r="A29" s="33" t="s">
        <v>21</v>
      </c>
      <c r="B29" s="2"/>
      <c r="C29" s="3"/>
      <c r="D29" s="28"/>
      <c r="E29" s="28"/>
      <c r="F29" s="28"/>
    </row>
    <row r="30" ht="15.75" customHeight="1">
      <c r="A30" s="6"/>
      <c r="B30" s="7"/>
      <c r="C30" s="8"/>
      <c r="D30" s="29" t="s">
        <v>22</v>
      </c>
      <c r="E30" s="28"/>
      <c r="F30" s="29">
        <f>SUM(F26:F28)</f>
        <v>3898</v>
      </c>
    </row>
    <row r="31" ht="15.75" customHeight="1">
      <c r="A31" s="32"/>
      <c r="B31" s="32"/>
      <c r="C31" s="32"/>
      <c r="D31" s="31"/>
      <c r="E31" s="32"/>
      <c r="F31" s="31"/>
      <c r="G31" s="34"/>
      <c r="H31" s="34"/>
      <c r="I31" s="34"/>
    </row>
    <row r="32" ht="15.75" customHeight="1">
      <c r="A32" s="32"/>
      <c r="B32" s="32"/>
      <c r="C32" s="32"/>
      <c r="D32" s="31"/>
      <c r="E32" s="32"/>
      <c r="F32" s="31"/>
      <c r="G32" s="34"/>
      <c r="H32" s="34"/>
      <c r="I32" s="34"/>
    </row>
    <row r="33" ht="15.75" customHeight="1">
      <c r="A33" s="32"/>
      <c r="B33" s="32"/>
      <c r="C33" s="32"/>
      <c r="D33" s="31"/>
      <c r="E33" s="32"/>
      <c r="F33" s="31"/>
      <c r="G33" s="34"/>
      <c r="H33" s="34"/>
      <c r="I33" s="34"/>
    </row>
    <row r="34" ht="15.75" customHeight="1">
      <c r="A34" s="32"/>
      <c r="B34" s="32"/>
      <c r="C34" s="32"/>
      <c r="D34" s="31"/>
      <c r="E34" s="32"/>
      <c r="F34" s="31"/>
      <c r="G34" s="34"/>
      <c r="H34" s="34"/>
      <c r="I34" s="34"/>
    </row>
    <row r="35" ht="15.75" customHeight="1">
      <c r="A35" s="32"/>
      <c r="B35" s="32"/>
      <c r="C35" s="32"/>
      <c r="D35" s="31"/>
      <c r="E35" s="32"/>
      <c r="F35" s="31"/>
      <c r="G35" s="34"/>
      <c r="H35" s="34"/>
      <c r="I35" s="34"/>
    </row>
    <row r="36" ht="15.75" customHeight="1">
      <c r="A36" s="32"/>
      <c r="B36" s="32"/>
      <c r="C36" s="32"/>
      <c r="D36" s="31"/>
      <c r="E36" s="32"/>
      <c r="F36" s="31"/>
      <c r="G36" s="34"/>
      <c r="H36" s="34"/>
      <c r="I36" s="34"/>
    </row>
    <row r="37" ht="15.75" customHeight="1">
      <c r="A37" s="32"/>
      <c r="B37" s="32"/>
      <c r="C37" s="32"/>
      <c r="D37" s="31"/>
      <c r="E37" s="32"/>
      <c r="F37" s="31"/>
      <c r="G37" s="34"/>
      <c r="H37" s="34"/>
      <c r="I37" s="34"/>
    </row>
    <row r="38" ht="15.75" customHeight="1">
      <c r="A38" s="32"/>
      <c r="B38" s="32"/>
      <c r="C38" s="32"/>
      <c r="D38" s="31"/>
      <c r="E38" s="32"/>
      <c r="F38" s="31"/>
      <c r="G38" s="34"/>
      <c r="H38" s="34"/>
      <c r="I38" s="34"/>
    </row>
    <row r="39" ht="15.75" customHeight="1">
      <c r="A39" s="32"/>
      <c r="B39" s="32"/>
      <c r="C39" s="32"/>
      <c r="D39" s="31"/>
      <c r="E39" s="32"/>
      <c r="F39" s="31"/>
      <c r="G39" s="34"/>
      <c r="H39" s="34"/>
      <c r="I39" s="34"/>
    </row>
    <row r="40" ht="15.75" customHeight="1">
      <c r="A40" s="32"/>
      <c r="B40" s="32"/>
      <c r="C40" s="32"/>
      <c r="D40" s="31"/>
      <c r="E40" s="32"/>
      <c r="F40" s="31"/>
      <c r="G40" s="34"/>
      <c r="H40" s="34"/>
      <c r="I40" s="34"/>
    </row>
    <row r="41" ht="15.75" customHeight="1">
      <c r="A41" s="32"/>
      <c r="B41" s="32"/>
      <c r="C41" s="32"/>
      <c r="D41" s="31"/>
      <c r="E41" s="32"/>
      <c r="F41" s="31"/>
      <c r="G41" s="34"/>
      <c r="H41" s="34"/>
      <c r="I41" s="34"/>
    </row>
    <row r="42" ht="15.75" customHeight="1">
      <c r="A42" s="32"/>
      <c r="B42" s="32"/>
      <c r="C42" s="32"/>
      <c r="D42" s="31"/>
      <c r="E42" s="32"/>
      <c r="F42" s="31"/>
      <c r="G42" s="34"/>
      <c r="H42" s="34"/>
      <c r="I42" s="34"/>
    </row>
    <row r="43" ht="15.75" customHeight="1">
      <c r="A43" s="32"/>
      <c r="B43" s="32"/>
      <c r="C43" s="32"/>
      <c r="D43" s="31"/>
      <c r="E43" s="32"/>
      <c r="F43" s="31"/>
      <c r="G43" s="34"/>
      <c r="H43" s="34"/>
      <c r="I43" s="34"/>
    </row>
    <row r="44" ht="15.75" customHeight="1">
      <c r="A44" s="32"/>
      <c r="B44" s="32"/>
      <c r="C44" s="32"/>
      <c r="D44" s="31"/>
      <c r="E44" s="32"/>
      <c r="F44" s="31"/>
      <c r="G44" s="34"/>
      <c r="H44" s="34"/>
      <c r="I44" s="34"/>
    </row>
    <row r="45" ht="15.75" customHeight="1">
      <c r="A45" s="32"/>
      <c r="B45" s="32"/>
      <c r="C45" s="32"/>
      <c r="D45" s="31"/>
      <c r="E45" s="32"/>
      <c r="F45" s="31"/>
      <c r="G45" s="34"/>
      <c r="H45" s="34"/>
      <c r="I45" s="34"/>
    </row>
    <row r="46" ht="15.75" customHeight="1">
      <c r="A46" s="32"/>
      <c r="B46" s="32"/>
      <c r="C46" s="32"/>
      <c r="D46" s="31"/>
      <c r="E46" s="32"/>
      <c r="F46" s="31"/>
      <c r="G46" s="34"/>
      <c r="H46" s="34"/>
      <c r="I46" s="34"/>
    </row>
    <row r="47" ht="15.75" customHeight="1">
      <c r="A47" s="32"/>
      <c r="B47" s="32"/>
      <c r="C47" s="32"/>
      <c r="D47" s="31"/>
      <c r="E47" s="32"/>
      <c r="F47" s="31"/>
      <c r="G47" s="34"/>
      <c r="H47" s="34"/>
      <c r="I47" s="34"/>
    </row>
    <row r="48" ht="15.75" customHeight="1">
      <c r="A48" s="32"/>
      <c r="B48" s="32"/>
      <c r="C48" s="32"/>
      <c r="D48" s="31"/>
      <c r="E48" s="32"/>
      <c r="F48" s="31"/>
      <c r="G48" s="34"/>
      <c r="H48" s="34"/>
      <c r="I48" s="34"/>
    </row>
  </sheetData>
  <mergeCells count="3">
    <mergeCell ref="A1:I4"/>
    <mergeCell ref="G26:I30"/>
    <mergeCell ref="A29:C30"/>
  </mergeCells>
  <printOptions horizontalCentered="1"/>
  <pageMargins bottom="0.75" footer="0.0" header="0.0" left="0.25" right="0.25" top="0.75"/>
  <pageSetup fitToWidth="0" orientation="landscape"/>
  <drawing r:id="rId1"/>
  <tableParts count="1">
    <tablePart r:id="rId3"/>
  </tableParts>
</worksheet>
</file>